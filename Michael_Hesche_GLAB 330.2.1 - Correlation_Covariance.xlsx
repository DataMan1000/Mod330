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2098F594-9848-42EA-BF22-8C92CCDE60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rrelation-Covari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D4" i="1"/>
  <c r="H4" i="1" s="1"/>
  <c r="E3" i="1"/>
  <c r="G3" i="1" s="1"/>
  <c r="D3" i="1"/>
  <c r="H3" i="1" s="1"/>
  <c r="E2" i="1"/>
  <c r="G2" i="1" s="1"/>
  <c r="B8" i="1" s="1"/>
  <c r="B10" i="1" s="1"/>
  <c r="D2" i="1"/>
  <c r="H2" i="1" s="1"/>
  <c r="B6" i="1" s="1"/>
  <c r="F2" i="1" l="1"/>
  <c r="F3" i="1"/>
  <c r="F4" i="1"/>
  <c r="B7" i="1" l="1"/>
  <c r="B9" i="1" s="1"/>
  <c r="B11" i="1" s="1"/>
</calcChain>
</file>

<file path=xl/sharedStrings.xml><?xml version="1.0" encoding="utf-8"?>
<sst xmlns="http://schemas.openxmlformats.org/spreadsheetml/2006/main" count="14" uniqueCount="14">
  <si>
    <t>Day</t>
  </si>
  <si>
    <t>Temperature (X)</t>
  </si>
  <si>
    <t>Ice Cream Sales (Y)</t>
  </si>
  <si>
    <t>X - X̄</t>
  </si>
  <si>
    <t>Y - Ȳ</t>
  </si>
  <si>
    <t>(X - X̄)²</t>
  </si>
  <si>
    <t>(Y - Ȳ)²</t>
  </si>
  <si>
    <t>(X - X̄)*(Y - Ȳ)</t>
  </si>
  <si>
    <t>Covariance</t>
  </si>
  <si>
    <t>Variance X</t>
  </si>
  <si>
    <t>Variance Y</t>
  </si>
  <si>
    <t>SD X</t>
  </si>
  <si>
    <t>SD Y</t>
  </si>
  <si>
    <t>Correlation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</si>
</sst>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Temperature vs Ice Cream Sales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5.0422304679119954E-4"/>
                  <c:y val="0.14286182801258659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="1" baseline="0"/>
                      <a:t>y = 4x + 20</a:t>
                    </a:r>
                    <a:endParaRPr lang="en-US" b="1"/>
                  </a:p>
                </c:rich>
              </c:tx>
              <c:numFmt formatCode="General" sourceLinked="0"/>
            </c:trendlineLbl>
          </c:trendline>
          <c:xVal>
            <c:numRef>
              <c:f>'Correlation-Covariance'!$B$2:$B$4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15</c:v>
                </c:pt>
              </c:numCache>
            </c:numRef>
          </c:xVal>
          <c:yVal>
            <c:numRef>
              <c:f>'Correlation-Covariance'!$C$2:$C$4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8-47F1-A553-E56AB846E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Ice Cream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12</xdr:row>
      <xdr:rowOff>12700</xdr:rowOff>
    </xdr:from>
    <xdr:ext cx="6292850" cy="338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M27" sqref="M27"/>
    </sheetView>
  </sheetViews>
  <sheetFormatPr defaultRowHeight="14.5" x14ac:dyDescent="0.35"/>
  <cols>
    <col min="1" max="1" width="19.7265625" bestFit="1" customWidth="1"/>
    <col min="2" max="2" width="14.54296875" bestFit="1" customWidth="1"/>
    <col min="3" max="3" width="16.54296875" bestFit="1" customWidth="1"/>
    <col min="4" max="4" width="4.36328125" bestFit="1" customWidth="1"/>
    <col min="6" max="6" width="6.26953125" bestFit="1" customWidth="1"/>
    <col min="7" max="7" width="8.90625" customWidth="1"/>
    <col min="8" max="8" width="11.453125" bestFit="1" customWidth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</v>
      </c>
      <c r="B2" s="1">
        <v>20</v>
      </c>
      <c r="C2" s="1">
        <v>100</v>
      </c>
      <c r="D2" s="1">
        <f>B2-AVERAGE(B2:B4)</f>
        <v>0</v>
      </c>
      <c r="E2" s="1">
        <f>C2-AVERAGE(C2:C4)</f>
        <v>0</v>
      </c>
      <c r="F2" s="1">
        <f t="shared" ref="F2:G4" si="0">D2^2</f>
        <v>0</v>
      </c>
      <c r="G2" s="1">
        <f t="shared" si="0"/>
        <v>0</v>
      </c>
      <c r="H2" s="1">
        <f>D2*E2</f>
        <v>0</v>
      </c>
    </row>
    <row r="3" spans="1:8" x14ac:dyDescent="0.35">
      <c r="A3" s="1">
        <v>2</v>
      </c>
      <c r="B3" s="1">
        <v>25</v>
      </c>
      <c r="C3" s="1">
        <v>120</v>
      </c>
      <c r="D3" s="1">
        <f>B3-AVERAGE(B2:B4)</f>
        <v>5</v>
      </c>
      <c r="E3" s="1">
        <f>C3-AVERAGE(C2:C4)</f>
        <v>20</v>
      </c>
      <c r="F3" s="1">
        <f t="shared" si="0"/>
        <v>25</v>
      </c>
      <c r="G3" s="1">
        <f t="shared" si="0"/>
        <v>400</v>
      </c>
      <c r="H3" s="1">
        <f>D3*E3</f>
        <v>100</v>
      </c>
    </row>
    <row r="4" spans="1:8" x14ac:dyDescent="0.35">
      <c r="A4" s="1">
        <v>3</v>
      </c>
      <c r="B4" s="1">
        <v>15</v>
      </c>
      <c r="C4" s="1">
        <v>80</v>
      </c>
      <c r="D4" s="1">
        <f>B4-AVERAGE(B2:B4)</f>
        <v>-5</v>
      </c>
      <c r="E4" s="1">
        <f>C4-AVERAGE(C2:C4)</f>
        <v>-20</v>
      </c>
      <c r="F4" s="1">
        <f t="shared" si="0"/>
        <v>25</v>
      </c>
      <c r="G4" s="1">
        <f t="shared" si="0"/>
        <v>400</v>
      </c>
      <c r="H4" s="1">
        <f>D4*E4</f>
        <v>100</v>
      </c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4" t="s">
        <v>8</v>
      </c>
      <c r="B6" s="5">
        <f>SUM(H2:H4)/3</f>
        <v>66.666666666666671</v>
      </c>
      <c r="C6" s="1"/>
      <c r="D6" s="1"/>
      <c r="E6" s="1"/>
      <c r="F6" s="1"/>
      <c r="G6" s="1"/>
      <c r="H6" s="1"/>
    </row>
    <row r="7" spans="1:8" x14ac:dyDescent="0.35">
      <c r="A7" s="6" t="s">
        <v>9</v>
      </c>
      <c r="B7" s="7">
        <f>SUM(F2:F4)/3</f>
        <v>16.666666666666668</v>
      </c>
      <c r="C7" s="1"/>
      <c r="D7" s="1"/>
      <c r="E7" s="1"/>
      <c r="F7" s="1"/>
      <c r="G7" s="1"/>
      <c r="H7" s="1"/>
    </row>
    <row r="8" spans="1:8" x14ac:dyDescent="0.35">
      <c r="A8" s="6" t="s">
        <v>10</v>
      </c>
      <c r="B8" s="7">
        <f>SUM(G2:G4)/3</f>
        <v>266.66666666666669</v>
      </c>
      <c r="C8" s="1"/>
      <c r="D8" s="1"/>
      <c r="E8" s="1"/>
      <c r="F8" s="1"/>
      <c r="G8" s="1"/>
      <c r="H8" s="1"/>
    </row>
    <row r="9" spans="1:8" x14ac:dyDescent="0.35">
      <c r="A9" s="6" t="s">
        <v>11</v>
      </c>
      <c r="B9" s="7">
        <f>SQRT(B7)</f>
        <v>4.0824829046386304</v>
      </c>
      <c r="C9" s="1"/>
      <c r="D9" s="1"/>
      <c r="E9" s="1"/>
      <c r="F9" s="1"/>
      <c r="G9" s="1"/>
      <c r="H9" s="1"/>
    </row>
    <row r="10" spans="1:8" x14ac:dyDescent="0.35">
      <c r="A10" s="6" t="s">
        <v>12</v>
      </c>
      <c r="B10" s="7">
        <f>SQRT(B8)</f>
        <v>16.329931618554522</v>
      </c>
      <c r="C10" s="1"/>
      <c r="D10" s="1"/>
      <c r="E10" s="1"/>
      <c r="F10" s="1"/>
      <c r="G10" s="1"/>
      <c r="H10" s="1"/>
    </row>
    <row r="11" spans="1:8" x14ac:dyDescent="0.35">
      <c r="A11" s="8" t="s">
        <v>13</v>
      </c>
      <c r="B11" s="9">
        <f>B6/(B9*B10)</f>
        <v>1</v>
      </c>
      <c r="C11" s="1"/>
      <c r="D11" s="1"/>
      <c r="E11" s="1"/>
      <c r="F11" s="1"/>
      <c r="G11" s="1"/>
      <c r="H11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Correlation-Covariance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Hesche</cp:lastModifiedBy>
  <dcterms:created xsi:type="dcterms:W3CDTF">2025-11-14T00:16:36Z</dcterms:created>
  <dcterms:modified xsi:type="dcterms:W3CDTF">2025-11-14T00:27:15Z</dcterms:modified>
</cp:coreProperties>
</file>